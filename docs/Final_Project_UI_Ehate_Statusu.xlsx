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Əhatə statusu" sheetId="1" state="visible" r:id="rId3"/>
    <sheet name="Xülasə" sheetId="2" state="visible" r:id="rId4"/>
  </sheets>
  <definedNames>
    <definedName function="false" hidden="true" localSheetId="0" name="_xlnm._FilterDatabase" vbProcedure="false">'Əhatə statusu'!$A$1:$F$25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<sst xmlns="http://schemas.openxmlformats.org/spreadsheetml/2006/main" count="135" uniqueCount="77">
  <si>
    <t xml:space="preserve">Modul</t>
  </si>
  <si>
    <t xml:space="preserve">Status</t>
  </si>
  <si>
    <t xml:space="preserve">Risk</t>
  </si>
  <si>
    <t xml:space="preserve">Avtomatik ssenari sayı</t>
  </si>
  <si>
    <t xml:space="preserve">Tapılan bug / müşahidə</t>
  </si>
  <si>
    <t xml:space="preserve">Növbəti addım</t>
  </si>
  <si>
    <t xml:space="preserve">Dil</t>
  </si>
  <si>
    <t xml:space="preserve">Avtomatlaşdırılıb</t>
  </si>
  <si>
    <t xml:space="preserve">Yüksək</t>
  </si>
  <si>
    <t xml:space="preserve">BUG-008, 009, 010</t>
  </si>
  <si>
    <t xml:space="preserve">-</t>
  </si>
  <si>
    <t xml:space="preserve">Kredit kalkulyatoru</t>
  </si>
  <si>
    <t xml:space="preserve">BUG-001, 002, 003, 005, 007, 024 (004, 006 hələ avtomatlaşdırılmayıb)</t>
  </si>
  <si>
    <t xml:space="preserve">BUG-004, 006 üçün ssenari</t>
  </si>
  <si>
    <t xml:space="preserve">Naviqasiya və menyu</t>
  </si>
  <si>
    <t xml:space="preserve">BUG-011, 013</t>
  </si>
  <si>
    <t xml:space="preserve">BUG-011 real Chrome-da təsdiqləndi</t>
  </si>
  <si>
    <t xml:space="preserve">Valyuta məzənnəsi (cədvəl)</t>
  </si>
  <si>
    <t xml:space="preserve">Ana səhifə</t>
  </si>
  <si>
    <t xml:space="preserve">Orta</t>
  </si>
  <si>
    <t xml:space="preserve">BUG-025</t>
  </si>
  <si>
    <t xml:space="preserve">Mağaza linkləri və şəkillər yoxlanıldı; karusel əl ilə qalır</t>
  </si>
  <si>
    <t xml:space="preserve">Valyuta konvertoru</t>
  </si>
  <si>
    <t xml:space="preserve">BUG-014</t>
  </si>
  <si>
    <t xml:space="preserve">Filiallar və ATM</t>
  </si>
  <si>
    <t xml:space="preserve">Tab keçidləri və xəritə konteyneri yoxlanır</t>
  </si>
  <si>
    <t xml:space="preserve">Marker və tablar yoxlanıldı; axtarış sahəsi yoxdur</t>
  </si>
  <si>
    <t xml:space="preserve">Axtarış</t>
  </si>
  <si>
    <t xml:space="preserve">BUG-015, 016</t>
  </si>
  <si>
    <t xml:space="preserve">Responsiv və mobil</t>
  </si>
  <si>
    <t xml:space="preserve">Hamburger menyu, üfüqi sürüşmə, kalkulyator (500px); mobil menyu linkləri BUG-013-ə daxildir</t>
  </si>
  <si>
    <t xml:space="preserve">320/768/1024/1920 və landşaft əl ilə yoxlanıldı</t>
  </si>
  <si>
    <t xml:space="preserve">Kartlar</t>
  </si>
  <si>
    <t xml:space="preserve">Kart detalları və sıralama manual qalır</t>
  </si>
  <si>
    <t xml:space="preserve">Kreditlər</t>
  </si>
  <si>
    <t xml:space="preserve">BUG-023</t>
  </si>
  <si>
    <t xml:space="preserve">Faiz və şərtlər kalkulyatorla uyğundur</t>
  </si>
  <si>
    <t xml:space="preserve">Əmanətlər</t>
  </si>
  <si>
    <t xml:space="preserve">BUG-018, 019, 022, 026</t>
  </si>
  <si>
    <t xml:space="preserve">USD seçimi yoxlanıldı; minimum məbləğ nəticəsi BUG-026</t>
  </si>
  <si>
    <t xml:space="preserve">Pul köçürmələri</t>
  </si>
  <si>
    <t xml:space="preserve">Real köçürmə testi tələb olunmur</t>
  </si>
  <si>
    <t xml:space="preserve">Onlayn xidmətlər</t>
  </si>
  <si>
    <t xml:space="preserve">İnternet bankçılıq girişinə toxunulmur</t>
  </si>
  <si>
    <t xml:space="preserve">Digər xidmətlər</t>
  </si>
  <si>
    <t xml:space="preserve">BUG-017 (başlıqlar); FAQ akkordeonu avtomatlaşdırılıb</t>
  </si>
  <si>
    <t xml:space="preserve">Qalan alt səhifələr və PDF-lər əl ilə</t>
  </si>
  <si>
    <t xml:space="preserve">Kampaniyalar</t>
  </si>
  <si>
    <t xml:space="preserve">Detal səhifəsi yoxlanıldı; bitmiş kampaniya siyahıdadır</t>
  </si>
  <si>
    <t xml:space="preserve">Biznes</t>
  </si>
  <si>
    <t xml:space="preserve">BUG-017</t>
  </si>
  <si>
    <t xml:space="preserve">Biznes bölməsi yoxlanıldı</t>
  </si>
  <si>
    <t xml:space="preserve">Bank haqqında</t>
  </si>
  <si>
    <t xml:space="preserve">BUG-030</t>
  </si>
  <si>
    <t xml:space="preserve">Rəhbərlik və hesabatlar əl ilə</t>
  </si>
  <si>
    <t xml:space="preserve">Xəbərlər</t>
  </si>
  <si>
    <t xml:space="preserve">Təhlükəsizlik</t>
  </si>
  <si>
    <t xml:space="preserve">Əl ilə baxılıb</t>
  </si>
  <si>
    <t xml:space="preserve">Aşağı</t>
  </si>
  <si>
    <t xml:space="preserve">HTTPS avtomatik yoxlanılıb; kuki bayraqları icra olunmayıb</t>
  </si>
  <si>
    <t xml:space="preserve">Xarici linklər</t>
  </si>
  <si>
    <t xml:space="preserve">BUG-021</t>
  </si>
  <si>
    <t xml:space="preserve">Xarici sayt statusları yoxlanmayıb (şəbəkə məhdudiyyəti)</t>
  </si>
  <si>
    <t xml:space="preserve">Əlçatanlıq</t>
  </si>
  <si>
    <t xml:space="preserve">BUG-020</t>
  </si>
  <si>
    <t xml:space="preserve">Widget yoxlanıldı; kontrast və fokus icra olunmayıb</t>
  </si>
  <si>
    <t xml:space="preserve">Performans və SEO</t>
  </si>
  <si>
    <t xml:space="preserve">BUG-017, 030</t>
  </si>
  <si>
    <t xml:space="preserve">Yüklənmə müddəti yoxlanmayıb</t>
  </si>
  <si>
    <t xml:space="preserve">Çat və widget-lər</t>
  </si>
  <si>
    <t xml:space="preserve">Çat pəncərəsində mesaj göndərmə (UI-CHT-003, 004) əl ilə yoxlanmalıdır</t>
  </si>
  <si>
    <t xml:space="preserve">Göstərici</t>
  </si>
  <si>
    <t xml:space="preserve">Say</t>
  </si>
  <si>
    <t xml:space="preserve">Cəmi modul</t>
  </si>
  <si>
    <t xml:space="preserve">İcra olunmayıb</t>
  </si>
  <si>
    <t xml:space="preserve">Əhatə faizi (avtomatlaşdırılan modul / cəmi)</t>
  </si>
  <si>
    <t xml:space="preserve">Yüksək riskli, icra olunmayan modul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</si>
</sst>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20"/>
    <col collapsed="false" customWidth="true" hidden="false" outlineLevel="0" max="3" min="3" style="1" width="10"/>
    <col collapsed="false" customWidth="true" hidden="false" outlineLevel="0" max="4" min="4" style="1" width="16"/>
    <col collapsed="false" customWidth="true" hidden="false" outlineLevel="0" max="5" min="5" style="1" width="52"/>
    <col collapsed="false" customWidth="true" hidden="false" outlineLevel="0" max="6" min="6" style="1" width="34"/>
  </cols>
  <sheetData>
    <row r="1" customFormat="false" ht="23.2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customFormat="false" ht="15" hidden="false" customHeight="true" outlineLevel="0" collapsed="false">
      <c r="A2" s="3" t="s">
        <v>6</v>
      </c>
      <c r="B2" s="3" t="s">
        <v>7</v>
      </c>
      <c r="C2" s="3" t="s">
        <v>8</v>
      </c>
      <c r="D2" s="3" t="n">
        <v>7</v>
      </c>
      <c r="E2" s="3" t="s">
        <v>9</v>
      </c>
      <c r="F2" s="3" t="s">
        <v>10</v>
      </c>
    </row>
    <row r="3" customFormat="false" ht="23.25" hidden="false" customHeight="true" outlineLevel="0" collapsed="false">
      <c r="A3" s="3" t="s">
        <v>11</v>
      </c>
      <c r="B3" s="3" t="s">
        <v>7</v>
      </c>
      <c r="C3" s="3" t="s">
        <v>8</v>
      </c>
      <c r="D3" s="3" t="n">
        <v>10</v>
      </c>
      <c r="E3" s="3" t="s">
        <v>12</v>
      </c>
      <c r="F3" s="3" t="s">
        <v>13</v>
      </c>
    </row>
    <row r="4" customFormat="false" ht="15" hidden="false" customHeight="true" outlineLevel="0" collapsed="false">
      <c r="A4" s="3" t="s">
        <v>14</v>
      </c>
      <c r="B4" s="3" t="s">
        <v>7</v>
      </c>
      <c r="C4" s="3" t="s">
        <v>8</v>
      </c>
      <c r="D4" s="3" t="n">
        <v>10</v>
      </c>
      <c r="E4" s="3" t="s">
        <v>15</v>
      </c>
      <c r="F4" s="3" t="s">
        <v>16</v>
      </c>
    </row>
    <row r="5" customFormat="false" ht="15" hidden="false" customHeight="true" outlineLevel="0" collapsed="false">
      <c r="A5" s="3" t="s">
        <v>17</v>
      </c>
      <c r="B5" s="3" t="s">
        <v>7</v>
      </c>
      <c r="C5" s="3" t="s">
        <v>8</v>
      </c>
      <c r="D5" s="3" t="n">
        <v>3</v>
      </c>
      <c r="E5" s="3" t="s">
        <v>10</v>
      </c>
      <c r="F5" s="3" t="s">
        <v>10</v>
      </c>
    </row>
    <row r="6" customFormat="false" ht="15" hidden="false" customHeight="true" outlineLevel="0" collapsed="false">
      <c r="A6" s="3" t="s">
        <v>18</v>
      </c>
      <c r="B6" s="3" t="s">
        <v>7</v>
      </c>
      <c r="C6" s="3" t="s">
        <v>19</v>
      </c>
      <c r="D6" s="3" t="n">
        <v>6</v>
      </c>
      <c r="E6" s="3" t="s">
        <v>20</v>
      </c>
      <c r="F6" s="3" t="s">
        <v>21</v>
      </c>
    </row>
    <row r="7" customFormat="false" ht="15" hidden="false" customHeight="true" outlineLevel="0" collapsed="false">
      <c r="A7" s="3" t="s">
        <v>22</v>
      </c>
      <c r="B7" s="3" t="s">
        <v>7</v>
      </c>
      <c r="C7" s="3" t="s">
        <v>8</v>
      </c>
      <c r="D7" s="3" t="n">
        <v>2</v>
      </c>
      <c r="E7" s="3" t="s">
        <v>23</v>
      </c>
      <c r="F7" s="3" t="s">
        <v>10</v>
      </c>
    </row>
    <row r="8" customFormat="false" ht="15" hidden="false" customHeight="true" outlineLevel="0" collapsed="false">
      <c r="A8" s="3" t="s">
        <v>24</v>
      </c>
      <c r="B8" s="3" t="s">
        <v>7</v>
      </c>
      <c r="C8" s="3" t="s">
        <v>8</v>
      </c>
      <c r="D8" s="3" t="n">
        <v>4</v>
      </c>
      <c r="E8" s="3" t="s">
        <v>25</v>
      </c>
      <c r="F8" s="3" t="s">
        <v>26</v>
      </c>
    </row>
    <row r="9" customFormat="false" ht="15" hidden="false" customHeight="true" outlineLevel="0" collapsed="false">
      <c r="A9" s="3" t="s">
        <v>27</v>
      </c>
      <c r="B9" s="3" t="s">
        <v>7</v>
      </c>
      <c r="C9" s="3" t="s">
        <v>8</v>
      </c>
      <c r="D9" s="3" t="n">
        <v>3</v>
      </c>
      <c r="E9" s="3" t="s">
        <v>28</v>
      </c>
      <c r="F9" s="3" t="s">
        <v>10</v>
      </c>
    </row>
    <row r="10" customFormat="false" ht="15" hidden="false" customHeight="true" outlineLevel="0" collapsed="false">
      <c r="A10" s="3" t="s">
        <v>29</v>
      </c>
      <c r="B10" s="3" t="s">
        <v>7</v>
      </c>
      <c r="C10" s="3" t="s">
        <v>8</v>
      </c>
      <c r="D10" s="3" t="n">
        <v>4</v>
      </c>
      <c r="E10" s="3" t="s">
        <v>30</v>
      </c>
      <c r="F10" s="3" t="s">
        <v>31</v>
      </c>
    </row>
    <row r="11" customFormat="false" ht="15" hidden="false" customHeight="true" outlineLevel="0" collapsed="false">
      <c r="A11" s="3" t="s">
        <v>32</v>
      </c>
      <c r="B11" s="3" t="s">
        <v>7</v>
      </c>
      <c r="C11" s="3" t="s">
        <v>19</v>
      </c>
      <c r="D11" s="3" t="n">
        <v>4</v>
      </c>
      <c r="E11" s="3" t="s">
        <v>10</v>
      </c>
      <c r="F11" s="3" t="s">
        <v>33</v>
      </c>
    </row>
    <row r="12" customFormat="false" ht="15" hidden="false" customHeight="true" outlineLevel="0" collapsed="false">
      <c r="A12" s="3" t="s">
        <v>34</v>
      </c>
      <c r="B12" s="3" t="s">
        <v>7</v>
      </c>
      <c r="C12" s="3" t="s">
        <v>19</v>
      </c>
      <c r="D12" s="3" t="n">
        <v>7</v>
      </c>
      <c r="E12" s="3" t="s">
        <v>35</v>
      </c>
      <c r="F12" s="3" t="s">
        <v>36</v>
      </c>
    </row>
    <row r="13" customFormat="false" ht="15" hidden="false" customHeight="true" outlineLevel="0" collapsed="false">
      <c r="A13" s="3" t="s">
        <v>37</v>
      </c>
      <c r="B13" s="3" t="s">
        <v>7</v>
      </c>
      <c r="C13" s="3" t="s">
        <v>19</v>
      </c>
      <c r="D13" s="3" t="n">
        <v>8</v>
      </c>
      <c r="E13" s="3" t="s">
        <v>38</v>
      </c>
      <c r="F13" s="3" t="s">
        <v>39</v>
      </c>
    </row>
    <row r="14" customFormat="false" ht="15" hidden="false" customHeight="true" outlineLevel="0" collapsed="false">
      <c r="A14" s="3" t="s">
        <v>40</v>
      </c>
      <c r="B14" s="3" t="s">
        <v>7</v>
      </c>
      <c r="C14" s="3" t="s">
        <v>19</v>
      </c>
      <c r="D14" s="3" t="n">
        <v>4</v>
      </c>
      <c r="E14" s="3" t="s">
        <v>10</v>
      </c>
      <c r="F14" s="3" t="s">
        <v>41</v>
      </c>
    </row>
    <row r="15" customFormat="false" ht="15" hidden="false" customHeight="true" outlineLevel="0" collapsed="false">
      <c r="A15" s="3" t="s">
        <v>42</v>
      </c>
      <c r="B15" s="3" t="s">
        <v>7</v>
      </c>
      <c r="C15" s="3" t="s">
        <v>19</v>
      </c>
      <c r="D15" s="3" t="n">
        <v>2</v>
      </c>
      <c r="E15" s="3" t="s">
        <v>10</v>
      </c>
      <c r="F15" s="3" t="s">
        <v>43</v>
      </c>
    </row>
    <row r="16" customFormat="false" ht="15" hidden="false" customHeight="true" outlineLevel="0" collapsed="false">
      <c r="A16" s="3" t="s">
        <v>44</v>
      </c>
      <c r="B16" s="3" t="s">
        <v>7</v>
      </c>
      <c r="C16" s="3" t="s">
        <v>19</v>
      </c>
      <c r="D16" s="3" t="n">
        <v>10</v>
      </c>
      <c r="E16" s="3" t="s">
        <v>45</v>
      </c>
      <c r="F16" s="3" t="s">
        <v>46</v>
      </c>
    </row>
    <row r="17" customFormat="false" ht="15" hidden="false" customHeight="true" outlineLevel="0" collapsed="false">
      <c r="A17" s="3" t="s">
        <v>47</v>
      </c>
      <c r="B17" s="3" t="s">
        <v>7</v>
      </c>
      <c r="C17" s="3" t="s">
        <v>19</v>
      </c>
      <c r="D17" s="3" t="n">
        <v>2</v>
      </c>
      <c r="E17" s="3" t="s">
        <v>10</v>
      </c>
      <c r="F17" s="3" t="s">
        <v>48</v>
      </c>
    </row>
    <row r="18" customFormat="false" ht="15" hidden="false" customHeight="true" outlineLevel="0" collapsed="false">
      <c r="A18" s="3" t="s">
        <v>49</v>
      </c>
      <c r="B18" s="3" t="s">
        <v>7</v>
      </c>
      <c r="C18" s="3" t="s">
        <v>19</v>
      </c>
      <c r="D18" s="3" t="n">
        <v>1</v>
      </c>
      <c r="E18" s="3" t="s">
        <v>50</v>
      </c>
      <c r="F18" s="3" t="s">
        <v>51</v>
      </c>
    </row>
    <row r="19" customFormat="false" ht="15" hidden="false" customHeight="true" outlineLevel="0" collapsed="false">
      <c r="A19" s="3" t="s">
        <v>52</v>
      </c>
      <c r="B19" s="3" t="s">
        <v>7</v>
      </c>
      <c r="C19" s="3" t="s">
        <v>19</v>
      </c>
      <c r="D19" s="3" t="n">
        <v>1</v>
      </c>
      <c r="E19" s="3" t="s">
        <v>53</v>
      </c>
      <c r="F19" s="3" t="s">
        <v>54</v>
      </c>
    </row>
    <row r="20" customFormat="false" ht="15" hidden="false" customHeight="true" outlineLevel="0" collapsed="false">
      <c r="A20" s="3" t="s">
        <v>55</v>
      </c>
      <c r="B20" s="3" t="s">
        <v>7</v>
      </c>
      <c r="C20" s="3" t="s">
        <v>19</v>
      </c>
      <c r="D20" s="3" t="n">
        <v>6</v>
      </c>
      <c r="E20" s="3" t="s">
        <v>10</v>
      </c>
      <c r="F20" s="3" t="s">
        <v>10</v>
      </c>
    </row>
    <row r="21" customFormat="false" ht="15" hidden="false" customHeight="true" outlineLevel="0" collapsed="false">
      <c r="A21" s="3" t="s">
        <v>56</v>
      </c>
      <c r="B21" s="3" t="s">
        <v>57</v>
      </c>
      <c r="C21" s="3" t="s">
        <v>58</v>
      </c>
      <c r="D21" s="3" t="n">
        <v>0</v>
      </c>
      <c r="E21" s="3" t="s">
        <v>10</v>
      </c>
      <c r="F21" s="3" t="s">
        <v>59</v>
      </c>
    </row>
    <row r="22" customFormat="false" ht="15" hidden="false" customHeight="true" outlineLevel="0" collapsed="false">
      <c r="A22" s="3" t="s">
        <v>60</v>
      </c>
      <c r="B22" s="3" t="s">
        <v>57</v>
      </c>
      <c r="C22" s="3" t="s">
        <v>58</v>
      </c>
      <c r="D22" s="3" t="n">
        <v>0</v>
      </c>
      <c r="E22" s="3" t="s">
        <v>61</v>
      </c>
      <c r="F22" s="3" t="s">
        <v>62</v>
      </c>
    </row>
    <row r="23" customFormat="false" ht="15" hidden="false" customHeight="true" outlineLevel="0" collapsed="false">
      <c r="A23" s="3" t="s">
        <v>63</v>
      </c>
      <c r="B23" s="3" t="s">
        <v>57</v>
      </c>
      <c r="C23" s="3" t="s">
        <v>58</v>
      </c>
      <c r="D23" s="3" t="n">
        <v>0</v>
      </c>
      <c r="E23" s="3" t="s">
        <v>64</v>
      </c>
      <c r="F23" s="3" t="s">
        <v>65</v>
      </c>
    </row>
    <row r="24" customFormat="false" ht="15" hidden="false" customHeight="true" outlineLevel="0" collapsed="false">
      <c r="A24" s="3" t="s">
        <v>66</v>
      </c>
      <c r="B24" s="3" t="s">
        <v>7</v>
      </c>
      <c r="C24" s="3" t="s">
        <v>58</v>
      </c>
      <c r="D24" s="3" t="n">
        <v>3</v>
      </c>
      <c r="E24" s="3" t="s">
        <v>67</v>
      </c>
      <c r="F24" s="3" t="s">
        <v>68</v>
      </c>
    </row>
    <row r="25" customFormat="false" ht="15" hidden="false" customHeight="true" outlineLevel="0" collapsed="false">
      <c r="A25" s="3" t="s">
        <v>69</v>
      </c>
      <c r="B25" s="3" t="s">
        <v>57</v>
      </c>
      <c r="C25" s="3" t="s">
        <v>58</v>
      </c>
      <c r="D25" s="3" t="n">
        <v>0</v>
      </c>
      <c r="E25" s="3" t="s">
        <v>10</v>
      </c>
      <c r="F25" s="3" t="s">
        <v>70</v>
      </c>
    </row>
  </sheetData>
  <autoFilter ref="A1:F25"/>
  <dataValidations count="1">
    <dataValidation allowBlank="true" errorStyle="stop" operator="between" showDropDown="false" showErrorMessage="false" showInputMessage="false" sqref="B2:B75" type="list">
      <formula1>"Avtomatlaşdırılıb,Əl ilə baxılıb,İcra olunmayıb"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8"/>
    <col collapsed="false" customWidth="true" hidden="false" outlineLevel="0" max="2" min="2" style="1" width="12"/>
  </cols>
  <sheetData>
    <row r="1" customFormat="false" ht="15" hidden="false" customHeight="true" outlineLevel="0" collapsed="false">
      <c r="A1" s="4" t="s">
        <v>71</v>
      </c>
      <c r="B1" s="4" t="s">
        <v>72</v>
      </c>
    </row>
    <row r="2" customFormat="false" ht="15" hidden="false" customHeight="true" outlineLevel="0" collapsed="false">
      <c r="A2" s="5" t="s">
        <v>73</v>
      </c>
      <c r="B2" s="5" t="n">
        <f aca="false">COUNTA('Əhatə statusu'!A2:A25)</f>
        <v>24</v>
      </c>
    </row>
    <row r="3" customFormat="false" ht="15" hidden="false" customHeight="true" outlineLevel="0" collapsed="false">
      <c r="A3" s="5" t="s">
        <v>7</v>
      </c>
      <c r="B3" s="5" t="n">
        <f aca="false">COUNTIF('Əhatə statusu'!B2:B25,"Avtomatlaşdırılıb")</f>
        <v>20</v>
      </c>
    </row>
    <row r="4" customFormat="false" ht="15" hidden="false" customHeight="true" outlineLevel="0" collapsed="false">
      <c r="A4" s="5" t="s">
        <v>57</v>
      </c>
      <c r="B4" s="5" t="n">
        <f aca="false">COUNTIF('Əhatə statusu'!B2:B25,"Əl ilə baxılıb")</f>
        <v>4</v>
      </c>
    </row>
    <row r="5" customFormat="false" ht="15" hidden="false" customHeight="true" outlineLevel="0" collapsed="false">
      <c r="A5" s="5" t="s">
        <v>74</v>
      </c>
      <c r="B5" s="5" t="n">
        <f aca="false">COUNTIF('Əhatə statusu'!B2:B25,"İcra olunmayıb")</f>
        <v>0</v>
      </c>
    </row>
    <row r="6" customFormat="false" ht="15" hidden="false" customHeight="true" outlineLevel="0" collapsed="false">
      <c r="A6" s="5" t="s">
        <v>3</v>
      </c>
      <c r="B6" s="5" t="n">
        <f aca="false">SUM('Əhatə statusu'!D2:D25)</f>
        <v>97</v>
      </c>
    </row>
    <row r="7" customFormat="false" ht="15" hidden="false" customHeight="true" outlineLevel="0" collapsed="false">
      <c r="A7" s="5" t="s">
        <v>75</v>
      </c>
      <c r="B7" s="6" t="n">
        <f aca="false">B3/B2</f>
        <v>0.833333333333333</v>
      </c>
    </row>
    <row r="8" customFormat="false" ht="15" hidden="false" customHeight="true" outlineLevel="0" collapsed="false">
      <c r="A8" s="5" t="s">
        <v>76</v>
      </c>
      <c r="B8" s="5" t="n">
        <f aca="false">COUNTIFS('Əhatə statusu'!B2:B25,"İcra olunmayıb",'Əhatə statusu'!C2:C25,"Yüksək")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2026-10-11T12:19:39Z</dcterms:created>
  <dc:creator>openpyxl</dc:creator>
  <dc:description/>
  <dc:language>en-US</dc:language>
  <cp:lastModifiedBy/>
  <dcterms:modified xsi:type="dcterms:W3CDTF">2026-10-12T07:59:56Z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